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A82E94D8-4B7C-45F4-A965-D4C3889D7C2E}" xr6:coauthVersionLast="47" xr6:coauthVersionMax="47" xr10:uidLastSave="{00000000-0000-0000-0000-000000000000}"/>
  <bookViews>
    <workbookView xWindow="-98" yWindow="-98" windowWidth="22875" windowHeight="13711" xr2:uid="{89AC79F5-E1BD-4E80-8621-E8128D39C7B9}"/>
  </bookViews>
  <sheets>
    <sheet name="Cover" sheetId="7" r:id="rId1"/>
    <sheet name="RawData" sheetId="2" r:id="rId2"/>
    <sheet name="Analysis" sheetId="3" r:id="rId3"/>
    <sheet name="Charts" sheetId="4" r:id="rId4"/>
    <sheet name="Comparison" sheetId="5" r:id="rId5"/>
    <sheet name="Sour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E9" i="5"/>
  <c r="D10" i="5"/>
  <c r="D9" i="5"/>
  <c r="C7" i="5"/>
  <c r="C6" i="5"/>
  <c r="C5" i="5"/>
  <c r="C4" i="5"/>
  <c r="C3" i="5"/>
  <c r="B7" i="5"/>
  <c r="E7" i="5" s="1"/>
  <c r="B6" i="5"/>
  <c r="E6" i="5" s="1"/>
  <c r="B5" i="5"/>
  <c r="E5" i="5" s="1"/>
  <c r="B4" i="5"/>
  <c r="B3" i="5"/>
  <c r="E3" i="5" s="1"/>
  <c r="E17" i="3"/>
  <c r="D17" i="3"/>
  <c r="C17" i="3"/>
  <c r="E14" i="3"/>
  <c r="D14" i="3"/>
  <c r="C14" i="3"/>
  <c r="E13" i="3"/>
  <c r="D13" i="3"/>
  <c r="C13" i="3"/>
  <c r="E10" i="3"/>
  <c r="D10" i="3"/>
  <c r="C10" i="3"/>
  <c r="E9" i="3"/>
  <c r="D9" i="3"/>
  <c r="C9" i="3"/>
  <c r="E8" i="3"/>
  <c r="D8" i="3"/>
  <c r="C8" i="3"/>
  <c r="E5" i="3"/>
  <c r="D5" i="3"/>
  <c r="E4" i="3"/>
  <c r="D4" i="3"/>
  <c r="E3" i="3"/>
  <c r="D3" i="3"/>
  <c r="D5" i="5" l="1"/>
  <c r="D6" i="5"/>
  <c r="E4" i="5"/>
  <c r="D3" i="5"/>
  <c r="D7" i="5"/>
  <c r="D4" i="5"/>
  <c r="C15" i="5" l="1"/>
  <c r="B12" i="5"/>
  <c r="C12" i="5" s="1"/>
</calcChain>
</file>

<file path=xl/sharedStrings.xml><?xml version="1.0" encoding="utf-8"?>
<sst xmlns="http://schemas.openxmlformats.org/spreadsheetml/2006/main" count="128" uniqueCount="115">
  <si>
    <t>Line Item</t>
  </si>
  <si>
    <t>Revenue</t>
  </si>
  <si>
    <t>Cost of Revenue</t>
  </si>
  <si>
    <t>Gross Profit</t>
  </si>
  <si>
    <t>Total Assets</t>
  </si>
  <si>
    <t>Total Liabilities</t>
  </si>
  <si>
    <t>Income Statement</t>
  </si>
  <si>
    <t>Selling, General &amp; Administrative Expenses</t>
  </si>
  <si>
    <t>Operating Income (Loss)</t>
  </si>
  <si>
    <t>Net Income (Loss)</t>
  </si>
  <si>
    <t>Balance Sheet</t>
  </si>
  <si>
    <t>Total Current Assets</t>
  </si>
  <si>
    <t>ASSETS</t>
  </si>
  <si>
    <t>LIABILITIES</t>
  </si>
  <si>
    <t>Total Current Liabilities</t>
  </si>
  <si>
    <t>EQUITY</t>
  </si>
  <si>
    <t>Total Stockholders' Equity</t>
  </si>
  <si>
    <t>Metric</t>
  </si>
  <si>
    <t>Formula</t>
  </si>
  <si>
    <t>Revenue Growth %</t>
  </si>
  <si>
    <t>(New - Old) / Old</t>
  </si>
  <si>
    <t>N/A</t>
  </si>
  <si>
    <t>Gross Profit Growth %</t>
  </si>
  <si>
    <t>Net Income Growth %</t>
  </si>
  <si>
    <t>PROFITABILITY MARGINS (% of Revenue)</t>
  </si>
  <si>
    <t>Gross Margin %</t>
  </si>
  <si>
    <t>Gross Profit / Revenue</t>
  </si>
  <si>
    <t>Operating Margin %</t>
  </si>
  <si>
    <t>Operating Income / Revenue</t>
  </si>
  <si>
    <t>Net Margin %</t>
  </si>
  <si>
    <t>Net Income / Revenue</t>
  </si>
  <si>
    <t>RETURNS</t>
  </si>
  <si>
    <t>ROE (Return on Equity) %</t>
  </si>
  <si>
    <t>Net Income / Equity</t>
  </si>
  <si>
    <t>ROA (Return on Assets) %</t>
  </si>
  <si>
    <t>Net Income / Total Assets</t>
  </si>
  <si>
    <t>LIQUIDITY</t>
  </si>
  <si>
    <t>Current Ratio</t>
  </si>
  <si>
    <t>Current Assets / Current Liabilities</t>
  </si>
  <si>
    <t>*Negative % reflects shift from loss to profit</t>
  </si>
  <si>
    <t>KEY INSIGHTS</t>
  </si>
  <si>
    <t>1. Revenue doubled in 2023 (101.7% growth) but decelerated sharply to 2.9% in 2024</t>
  </si>
  <si>
    <t>2. Gross margins improving consistently (41% → 50%), showing pricing power</t>
  </si>
  <si>
    <t>3. Net margins compressed from 17% to 11% due to OpEx growth outpacing revenue</t>
  </si>
  <si>
    <t>4. Company transitioned from loss (-$187M) to strong profitability ($227M) in 2023</t>
  </si>
  <si>
    <t>5. Liquidity remains very strong with 3.35x current ratio</t>
  </si>
  <si>
    <t>Celsius 2024</t>
  </si>
  <si>
    <t>Monster 2024</t>
  </si>
  <si>
    <t>GROWTH &amp; PROFITABILITY</t>
  </si>
  <si>
    <t>Revenue Growth % (YoY)</t>
  </si>
  <si>
    <t>VALUATION METRICS</t>
  </si>
  <si>
    <t>P/E Ratio</t>
  </si>
  <si>
    <t>Market Cap (Billions)</t>
  </si>
  <si>
    <t>Winner / Analysis</t>
  </si>
  <si>
    <t>GROWTH RATES (Year-over-Year %)</t>
  </si>
  <si>
    <t>Advantage</t>
  </si>
  <si>
    <t>Overall Winner</t>
  </si>
  <si>
    <t>Executive Summary</t>
  </si>
  <si>
    <t>Investment Recommendation:</t>
  </si>
  <si>
    <t>Key Strengths - Monster:</t>
  </si>
  <si>
    <t>1. Higher profit margins (25.8% operating vs 11.5%)</t>
  </si>
  <si>
    <t>2. Better valuation (P/E 40.56 vs 369.33)</t>
  </si>
  <si>
    <t>3. Established market leader ($69.75B market cap)</t>
  </si>
  <si>
    <t>Key Strengths - Celsius:</t>
  </si>
  <si>
    <t>1. Superior ROE (36.3% vs 25.3%)</t>
  </si>
  <si>
    <t>2. Strong liquidity (3.35 current ratio)</t>
  </si>
  <si>
    <t>3. High growth company in expansion phase</t>
  </si>
  <si>
    <t>INVESTMENT ANALYSIS CONCLUSION</t>
  </si>
  <si>
    <t>DATA SOURCES AND METHODOLOGY</t>
  </si>
  <si>
    <t>Primary Sources:</t>
  </si>
  <si>
    <t>1. Celsius Holdings, Inc. 10-K Annual Report (FY 2024)</t>
  </si>
  <si>
    <t>Retrieved: 11/13/2025</t>
  </si>
  <si>
    <t>Used for: Income Statement, Balance Sheet (2022-2024)</t>
  </si>
  <si>
    <t>2. Celsius Holdings, Inc. 10-K Annual Report (FY 2022)</t>
  </si>
  <si>
    <t>Source: Celsius Holdings (https://ir.celsiusholdingsinc.com/financials/annual-reports/default.aspx)</t>
  </si>
  <si>
    <t>Retrieved: 11/12/2025</t>
  </si>
  <si>
    <t>Retreived: 11/12/2025</t>
  </si>
  <si>
    <t>Used for: Historical comparison baseline</t>
  </si>
  <si>
    <t>3. Monster Beverage Corporation - Yahoo Finance Financials</t>
  </si>
  <si>
    <t>Source: https://finance.yahoo.com/quote/MNST/financials/</t>
  </si>
  <si>
    <t>Used for: Income Statement data (2023-2024)</t>
  </si>
  <si>
    <t>4. Monster Beverage Corporation - Yahoo Finance Balance Sheet</t>
  </si>
  <si>
    <t>Source: https://finance.yahoo.com/quote/MNST/balance-sheet/</t>
  </si>
  <si>
    <t>Used for: Balance Sheet data (2023-2024)</t>
  </si>
  <si>
    <t>5. Monster Beverage Corporation - Yahoo Finance Summary</t>
  </si>
  <si>
    <t>Source: https://finance.yahoo.com/quote/MNST</t>
  </si>
  <si>
    <t>Used for: Market Cap, P/E Ratio, Stock Price</t>
  </si>
  <si>
    <t>Methodology:</t>
  </si>
  <si>
    <t>- All financial metrics calculated using standard financial formulas</t>
  </si>
  <si>
    <t>- Revenue Growth % = (Current Year Revenue - Prior Year Revenue) / Prior Year Revenue</t>
  </si>
  <si>
    <t>- Gross Margin % = Gross Profit / Revenue × 100</t>
  </si>
  <si>
    <t>- Operating Margin % = Operating Income / Revenue × 100</t>
  </si>
  <si>
    <t>- Net Margin % = Net Income / Revenue × 100</t>
  </si>
  <si>
    <t>- ROE % = Net Income / Shareholders' Equity × 100</t>
  </si>
  <si>
    <t>- P/E Ratio sourced directly from Yahoo Finance market data</t>
  </si>
  <si>
    <t>- Market Cap sourced from Yahoo Finance as of November 13, 2025</t>
  </si>
  <si>
    <t>- All figures in USD unless otherwise specified</t>
  </si>
  <si>
    <t>Analysis Period: 2022-2024</t>
  </si>
  <si>
    <t>Report Created: 11/13/2025</t>
  </si>
  <si>
    <t>Created by: Samuel Bell</t>
  </si>
  <si>
    <t>6. Celsius Holdings Inc. - Yahoo Finance Summary</t>
  </si>
  <si>
    <t>Source: https://finance.yahoo.com/quote/CELH/</t>
  </si>
  <si>
    <t>Used for: Market Cap, P/E ratio, Stock price</t>
  </si>
  <si>
    <t>Monster Beverage ($69.8B market cap) demonstrates greater operational maturity compared to Celsius ($11.4B market cap), which makes sense due to their different growth stages. Monster's established market position yields 2.3x higher operating margins (25.8% vs 11.5%) and superior profitability across all metrics. However, Celsius shows characteristics of a high-growth disruptor, having a P/E premium (369x vs 41x) according to Yahoo Finance, despite being 1/6th Monster's size, showing that markets expect huge future growth. Monster's efficiency advantages (54% gross margin, 20% net margin) indicate pricing power and operational leverage that Celsius has not yet achieved. Monster appears to offer stability and proven execution, while Celsius's 36.3% ROE demonstrates efficient capital deployment despite lower absolute profitability. Monster would be the better investment for risk-averse investors looking for stable returns, while Celsius only for high-risk growth portfolios.</t>
  </si>
  <si>
    <r>
      <t>Prepared by:</t>
    </r>
    <r>
      <rPr>
        <sz val="11"/>
        <color theme="1"/>
        <rFont val="Aptos Narrow"/>
        <family val="2"/>
        <scheme val="minor"/>
      </rPr>
      <t xml:space="preserve"> Samuel Bell</t>
    </r>
  </si>
  <si>
    <r>
      <t>Date:</t>
    </r>
    <r>
      <rPr>
        <sz val="11"/>
        <color theme="1"/>
        <rFont val="Aptos Narrow"/>
        <family val="2"/>
        <scheme val="minor"/>
      </rPr>
      <t xml:space="preserve"> November 2025</t>
    </r>
  </si>
  <si>
    <t>EXECUTIVE SUMMARY</t>
  </si>
  <si>
    <r>
      <t xml:space="preserve">Primary Focus: </t>
    </r>
    <r>
      <rPr>
        <sz val="11"/>
        <color theme="1"/>
        <rFont val="Aptos Narrow"/>
        <family val="2"/>
        <scheme val="minor"/>
      </rPr>
      <t>Comprehensive three-year financial analysis of Celsius Holdings (2022-2024), tracking transformation from $654M loss-making startup to $1.4B profitable growth company</t>
    </r>
  </si>
  <si>
    <r>
      <t xml:space="preserve">Benchmarking Approach: </t>
    </r>
    <r>
      <rPr>
        <sz val="11"/>
        <color theme="1"/>
        <rFont val="Aptos Narrow"/>
        <family val="2"/>
        <scheme val="minor"/>
      </rPr>
      <t>Performance evaluated against Monster Beverage ($70B market cap leader) to contextualize Celsius's operational efficiency, margins, and valuation metrics within industry standards</t>
    </r>
  </si>
  <si>
    <r>
      <t>Key Finding:</t>
    </r>
    <r>
      <rPr>
        <sz val="11"/>
        <color theme="1"/>
        <rFont val="Aptos Narrow"/>
        <family val="2"/>
        <scheme val="minor"/>
      </rPr>
      <t xml:space="preserve"> Celsius achieved profitability turnaround (from -$187M to +$145M net income) while doubling revenue, though operating margins remain 57% below Monster's mature benchmarks (11.5% vs 25.8%)</t>
    </r>
  </si>
  <si>
    <r>
      <t>Methodology:</t>
    </r>
    <r>
      <rPr>
        <sz val="11"/>
        <color theme="1"/>
        <rFont val="Aptos Narrow"/>
        <family val="2"/>
        <scheme val="minor"/>
      </rPr>
      <t xml:space="preserve"> Primary analysis from Celsius 10-K filings (2022, 2024); Monster data from Yahoo Finance for comparative benchmarking</t>
    </r>
  </si>
  <si>
    <t>CELSIUS HOLDINGS FINANCIAL ANALYSIS
Performance Evaluation &amp; Industry Benchmarking Against Monster Beverage Corporation</t>
  </si>
  <si>
    <r>
      <t>Valuation Paradox:</t>
    </r>
    <r>
      <rPr>
        <sz val="11"/>
        <color theme="1"/>
        <rFont val="Aptos Narrow"/>
        <family val="2"/>
        <scheme val="minor"/>
      </rPr>
      <t xml:space="preserve"> Despite inferior margins and being 1/6th revenue scale, Celsius has 9x valuation premium (P/E 369 vs 41), suggesting extreme growth expectations priced into current stock</t>
    </r>
  </si>
  <si>
    <r>
      <t>Investment Thesis:</t>
    </r>
    <r>
      <rPr>
        <sz val="11"/>
        <color theme="1"/>
        <rFont val="Aptos Narrow"/>
        <family val="2"/>
        <scheme val="minor"/>
      </rPr>
      <t xml:space="preserve"> Analysis reveals Celsius as high-risk growth with strong momentum but questionable valuation, the Monster comparison highlights gaps that must close to justify premium</t>
    </r>
  </si>
  <si>
    <t>*all data from Celsius 2024, 2022 10-K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</si>
</sst>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0" xfId="0" applyFill="1" applyBorder="1"/>
    <xf numFmtId="0" fontId="0" fillId="0" borderId="2" xfId="0" applyBorder="1"/>
    <xf numFmtId="0" fontId="0" fillId="0" borderId="4" xfId="0" applyBorder="1"/>
    <xf numFmtId="0" fontId="0" fillId="3" borderId="3" xfId="0" applyFill="1" applyBorder="1"/>
    <xf numFmtId="0" fontId="0" fillId="3" borderId="1" xfId="0" applyFill="1" applyBorder="1"/>
    <xf numFmtId="44" fontId="0" fillId="4" borderId="1" xfId="1" applyFont="1" applyFill="1" applyBorder="1"/>
    <xf numFmtId="0" fontId="2" fillId="3" borderId="1" xfId="0" applyFont="1" applyFill="1" applyBorder="1"/>
    <xf numFmtId="0" fontId="0" fillId="3" borderId="1" xfId="0" applyFont="1" applyFill="1" applyBorder="1"/>
    <xf numFmtId="0" fontId="0" fillId="3" borderId="4" xfId="0" applyFill="1" applyBorder="1"/>
    <xf numFmtId="44" fontId="0" fillId="4" borderId="4" xfId="1" applyFont="1" applyFill="1" applyBorder="1"/>
    <xf numFmtId="0" fontId="0" fillId="2" borderId="4" xfId="0" applyFill="1" applyBorder="1"/>
    <xf numFmtId="0" fontId="2" fillId="2" borderId="4" xfId="0" applyFont="1" applyFill="1" applyBorder="1" applyAlignment="1"/>
    <xf numFmtId="0" fontId="2" fillId="2" borderId="4" xfId="0" applyFont="1" applyFill="1" applyBorder="1"/>
    <xf numFmtId="0" fontId="2" fillId="3" borderId="5" xfId="0" applyFont="1" applyFill="1" applyBorder="1"/>
    <xf numFmtId="44" fontId="0" fillId="4" borderId="5" xfId="1" applyFont="1" applyFill="1" applyBorder="1"/>
    <xf numFmtId="0" fontId="0" fillId="3" borderId="5" xfId="0" applyFill="1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8" fontId="0" fillId="0" borderId="1" xfId="0" applyNumberFormat="1" applyBorder="1"/>
    <xf numFmtId="168" fontId="0" fillId="0" borderId="1" xfId="0" applyNumberFormat="1" applyBorder="1" applyAlignment="1">
      <alignment horizontal="right"/>
    </xf>
    <xf numFmtId="168" fontId="0" fillId="0" borderId="1" xfId="2" applyNumberFormat="1" applyFont="1" applyBorder="1"/>
    <xf numFmtId="168" fontId="3" fillId="0" borderId="1" xfId="2" applyNumberFormat="1" applyFont="1" applyBorder="1"/>
    <xf numFmtId="168" fontId="0" fillId="0" borderId="4" xfId="0" applyNumberFormat="1" applyBorder="1"/>
    <xf numFmtId="168" fontId="0" fillId="0" borderId="4" xfId="0" applyNumberFormat="1" applyBorder="1" applyAlignment="1">
      <alignment horizontal="right"/>
    </xf>
    <xf numFmtId="168" fontId="0" fillId="0" borderId="4" xfId="2" applyNumberFormat="1" applyFont="1" applyBorder="1"/>
    <xf numFmtId="168" fontId="0" fillId="0" borderId="5" xfId="0" applyNumberFormat="1" applyBorder="1"/>
    <xf numFmtId="168" fontId="0" fillId="0" borderId="5" xfId="0" applyNumberFormat="1" applyBorder="1" applyAlignment="1">
      <alignment horizontal="right"/>
    </xf>
    <xf numFmtId="168" fontId="0" fillId="0" borderId="5" xfId="2" applyNumberFormat="1" applyFont="1" applyBorder="1"/>
    <xf numFmtId="0" fontId="0" fillId="0" borderId="5" xfId="0" applyBorder="1"/>
    <xf numFmtId="2" fontId="0" fillId="0" borderId="5" xfId="0" applyNumberFormat="1" applyBorder="1"/>
    <xf numFmtId="168" fontId="2" fillId="3" borderId="6" xfId="0" applyNumberFormat="1" applyFont="1" applyFill="1" applyBorder="1" applyAlignment="1">
      <alignment horizontal="center"/>
    </xf>
    <xf numFmtId="168" fontId="2" fillId="3" borderId="7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  <xf numFmtId="168" fontId="2" fillId="3" borderId="9" xfId="0" applyNumberFormat="1" applyFont="1" applyFill="1" applyBorder="1" applyAlignment="1">
      <alignment horizontal="center"/>
    </xf>
    <xf numFmtId="168" fontId="2" fillId="3" borderId="10" xfId="0" applyNumberFormat="1" applyFont="1" applyFill="1" applyBorder="1" applyAlignment="1">
      <alignment horizontal="center"/>
    </xf>
    <xf numFmtId="168" fontId="2" fillId="3" borderId="11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0" borderId="15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0" fillId="0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 applyAlignment="1"/>
    <xf numFmtId="2" fontId="0" fillId="0" borderId="20" xfId="0" applyNumberFormat="1" applyBorder="1"/>
    <xf numFmtId="168" fontId="0" fillId="0" borderId="5" xfId="2" applyNumberFormat="1" applyFont="1" applyFill="1" applyBorder="1"/>
    <xf numFmtId="168" fontId="0" fillId="0" borderId="1" xfId="2" applyNumberFormat="1" applyFont="1" applyFill="1" applyBorder="1"/>
    <xf numFmtId="168" fontId="0" fillId="0" borderId="4" xfId="2" applyNumberFormat="1" applyFont="1" applyFill="1" applyBorder="1"/>
    <xf numFmtId="0" fontId="2" fillId="2" borderId="6" xfId="0" applyFont="1" applyFill="1" applyBorder="1"/>
    <xf numFmtId="0" fontId="2" fillId="0" borderId="7" xfId="0" applyFont="1" applyBorder="1"/>
    <xf numFmtId="0" fontId="0" fillId="0" borderId="8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2" borderId="12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0" fillId="4" borderId="0" xfId="0" applyFill="1"/>
    <xf numFmtId="0" fontId="2" fillId="4" borderId="0" xfId="0" applyFont="1" applyFill="1"/>
    <xf numFmtId="0" fontId="2" fillId="3" borderId="3" xfId="0" applyFont="1" applyFill="1" applyBorder="1"/>
    <xf numFmtId="0" fontId="0" fillId="2" borderId="12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2" fillId="4" borderId="0" xfId="0" applyFont="1" applyFill="1" applyAlignment="1">
      <alignment vertical="center"/>
    </xf>
    <xf numFmtId="0" fontId="4" fillId="2" borderId="13" xfId="0" applyFont="1" applyFill="1" applyBorder="1" applyAlignment="1">
      <alignment horizontal="left" vertical="center" wrapText="1"/>
    </xf>
    <xf numFmtId="0" fontId="5" fillId="0" borderId="0" xfId="0" applyFont="1"/>
    <xf numFmtId="0" fontId="0" fillId="2" borderId="21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Celsius Revenue Growth 2022-2024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RawData!$B$1:$D$1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RawData!$B$3:$D$3</c:f>
              <c:numCache>
                <c:formatCode>_("$"* #,##0.00_);_("$"* \(#,##0.00\);_("$"* "-"??_);_(@_)</c:formatCode>
                <c:ptCount val="3"/>
                <c:pt idx="0">
                  <c:v>653604</c:v>
                </c:pt>
                <c:pt idx="1">
                  <c:v>1318014</c:v>
                </c:pt>
                <c:pt idx="2">
                  <c:v>1355630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1-46B6-AE5B-247A1608B7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7474463"/>
        <c:axId val="15574725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shade val="76000"/>
                      </a:schemeClr>
                    </a:solidFill>
                    <a:ln w="9525">
                      <a:solidFill>
                        <a:schemeClr val="accent1">
                          <a:shade val="76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RawData!$B$1:$D$1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RawData!$B$1:$D$1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BD1-46B6-AE5B-247A1608B7EE}"/>
                  </c:ext>
                </c:extLst>
              </c15:ser>
            </c15:filteredLineSeries>
          </c:ext>
        </c:extLst>
      </c:lineChart>
      <c:catAx>
        <c:axId val="155747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472543"/>
        <c:crosses val="autoZero"/>
        <c:auto val="1"/>
        <c:lblAlgn val="ctr"/>
        <c:lblOffset val="100"/>
        <c:tickLblSkip val="1"/>
        <c:noMultiLvlLbl val="0"/>
      </c:catAx>
      <c:valAx>
        <c:axId val="15574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 ($000s)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47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Profitability Margin Trends 2022-2024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Analysis!$A$8:$B$8</c:f>
              <c:strCache>
                <c:ptCount val="2"/>
                <c:pt idx="0">
                  <c:v>Gross Margin %</c:v>
                </c:pt>
                <c:pt idx="1">
                  <c:v>Gross Profit / Revenue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Analysis!$C$1:$E$1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Analysis!$C$8:$E$8</c:f>
              <c:numCache>
                <c:formatCode>0.0%</c:formatCode>
                <c:ptCount val="3"/>
                <c:pt idx="0">
                  <c:v>0.41442371833709707</c:v>
                </c:pt>
                <c:pt idx="1">
                  <c:v>0.48037350134368828</c:v>
                </c:pt>
                <c:pt idx="2">
                  <c:v>0.50176449326143568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2-499A-BF13-D8D5A14FD6E5}"/>
            </c:ext>
          </c:extLst>
        </c:ser>
        <c:ser>
          <c:idx val="1"/>
          <c:order val="1"/>
          <c:tx>
            <c:strRef>
              <c:f>Analysis!$A$9:$B$9</c:f>
              <c:strCache>
                <c:ptCount val="2"/>
                <c:pt idx="0">
                  <c:v>Operating Margin %</c:v>
                </c:pt>
                <c:pt idx="1">
                  <c:v>Operating Income /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475683760865151E-2"/>
                  <c:y val="-6.2433042419537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C2-499A-BF13-D8D5A14FD6E5}"/>
                </c:ext>
              </c:extLst>
            </c:dLbl>
            <c:dLbl>
              <c:idx val="1"/>
              <c:layout>
                <c:manualLayout>
                  <c:x val="4.127172298322635E-3"/>
                  <c:y val="-4.2176297481730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C2-499A-BF13-D8D5A14FD6E5}"/>
                </c:ext>
              </c:extLst>
            </c:dLbl>
            <c:dLbl>
              <c:idx val="2"/>
              <c:layout>
                <c:manualLayout>
                  <c:x val="-5.8539923794202111E-3"/>
                  <c:y val="-5.90569182632366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C2-499A-BF13-D8D5A14FD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Analysis!$C$1:$E$1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Analysis!$C$9:$E$9</c:f>
              <c:numCache>
                <c:formatCode>0.0%</c:formatCode>
                <c:ptCount val="3"/>
                <c:pt idx="0">
                  <c:v>-0.24143212097845179</c:v>
                </c:pt>
                <c:pt idx="1">
                  <c:v>0.20209648759421373</c:v>
                </c:pt>
                <c:pt idx="2">
                  <c:v>0.11487500276624153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C2-499A-BF13-D8D5A14FD6E5}"/>
            </c:ext>
          </c:extLst>
        </c:ser>
        <c:ser>
          <c:idx val="2"/>
          <c:order val="2"/>
          <c:tx>
            <c:strRef>
              <c:f>Analysis!$A$10:$B$10</c:f>
              <c:strCache>
                <c:ptCount val="2"/>
                <c:pt idx="0">
                  <c:v>Net Margin %</c:v>
                </c:pt>
                <c:pt idx="1">
                  <c:v>Net Income / Revenue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6456848438607917E-2"/>
                  <c:y val="1.713316550185952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C2-499A-BF13-D8D5A14FD6E5}"/>
                </c:ext>
              </c:extLst>
            </c:dLbl>
            <c:dLbl>
              <c:idx val="1"/>
              <c:layout>
                <c:manualLayout>
                  <c:x val="-8.7699542736910871E-2"/>
                  <c:y val="-3.8800173325429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C2-499A-BF13-D8D5A14FD6E5}"/>
                </c:ext>
              </c:extLst>
            </c:dLbl>
            <c:dLbl>
              <c:idx val="2"/>
              <c:layout>
                <c:manualLayout>
                  <c:x val="-6.9733446316973813E-2"/>
                  <c:y val="-5.5680794106935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C2-499A-BF13-D8D5A14FD6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Analysis!$C$1:$E$1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Analysis!$C$10:$E$10</c:f>
              <c:numCache>
                <c:formatCode>0.0%</c:formatCode>
                <c:ptCount val="3"/>
                <c:pt idx="0">
                  <c:v>-0.28653741409171302</c:v>
                </c:pt>
                <c:pt idx="1">
                  <c:v>0.17207783832341689</c:v>
                </c:pt>
                <c:pt idx="2">
                  <c:v>0.10701592617454615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C2-499A-BF13-D8D5A14FD6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512815"/>
        <c:axId val="554169567"/>
      </c:lineChart>
      <c:catAx>
        <c:axId val="9151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69567"/>
        <c:crosses val="autoZero"/>
        <c:auto val="1"/>
        <c:lblAlgn val="ctr"/>
        <c:lblOffset val="100"/>
        <c:noMultiLvlLbl val="0"/>
      </c:catAx>
      <c:valAx>
        <c:axId val="5541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59531</xdr:colOff>
      <xdr:row>0</xdr:row>
      <xdr:rowOff>33343</xdr:rowOff>
    </xdr:from>
    <xdr:to>
      <xdr:col>9</xdr:col>
      <xdr:colOff>577581</xdr:colOff>
      <xdr:row>16</xdr:row>
      <xdr:rowOff>131728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7E3A4-C57C-9AF0-CE08-51DE53AC7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76916</xdr:colOff>
      <xdr:row>17</xdr:row>
      <xdr:rowOff>40532</xdr:rowOff>
    </xdr:from>
    <xdr:to>
      <xdr:col>9</xdr:col>
      <xdr:colOff>609599</xdr:colOff>
      <xdr:row>32</xdr:row>
      <xdr:rowOff>131728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A09F442-E58A-4E95-DEE8-2F71316B4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2DD3-E8FA-46D8-A37E-C28E7FA8C04E}">
  <sheetPr>
    <pageSetUpPr fitToPage="1"/>
  </sheetPr>
  <dimension ref="A1:R41"/>
  <sheetViews>
    <sheetView tabSelected="1" view="pageLayout" zoomScale="51" zoomScaleNormal="100" zoomScalePageLayoutView="51" workbookViewId="0">
      <selection activeCell="A39" sqref="A39"/>
    </sheetView>
  </sheetViews>
  <sheetFormatPr defaultRowHeight="14.25"/>
  <cols>
    <col min="1" max="13" width="9.59765625" customWidth="1"/>
  </cols>
  <sheetData>
    <row r="1" spans="1:18" ht="14.25" customHeight="1">
      <c r="A1" s="81" t="s">
        <v>111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75"/>
      <c r="O1" s="75"/>
      <c r="P1" s="75"/>
      <c r="Q1" s="75"/>
      <c r="R1" s="76"/>
    </row>
    <row r="2" spans="1:18" ht="14.25" customHeight="1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3"/>
      <c r="O2" s="3"/>
      <c r="P2" s="3"/>
      <c r="Q2" s="3"/>
      <c r="R2" s="77"/>
    </row>
    <row r="3" spans="1:18" ht="14.25" customHeight="1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3"/>
      <c r="O3" s="3"/>
      <c r="P3" s="3"/>
      <c r="Q3" s="3"/>
      <c r="R3" s="77"/>
    </row>
    <row r="4" spans="1:18" ht="14.25" customHeight="1">
      <c r="A4" s="68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3"/>
      <c r="O4" s="3"/>
      <c r="P4" s="3"/>
      <c r="Q4" s="3"/>
      <c r="R4" s="77"/>
    </row>
    <row r="5" spans="1:18" ht="14.25" customHeight="1" thickBot="1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8"/>
      <c r="O5" s="78"/>
      <c r="P5" s="78"/>
      <c r="Q5" s="78"/>
      <c r="R5" s="79"/>
    </row>
    <row r="6" spans="1:18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</row>
    <row r="7" spans="1:18">
      <c r="A7" s="73" t="s">
        <v>104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</row>
    <row r="8" spans="1:18">
      <c r="A8" s="73" t="s">
        <v>105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</row>
    <row r="9" spans="1:18">
      <c r="A9" s="73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</row>
    <row r="10" spans="1:18">
      <c r="A10" s="74" t="s">
        <v>106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>
      <c r="A11" s="73" t="s">
        <v>107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3"/>
      <c r="O11" s="72"/>
      <c r="P11" s="72"/>
      <c r="Q11" s="72"/>
      <c r="R11" s="72"/>
    </row>
    <row r="12" spans="1:18">
      <c r="A12" s="73" t="s">
        <v>108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2"/>
      <c r="P12" s="72"/>
      <c r="Q12" s="72"/>
      <c r="R12" s="72"/>
    </row>
    <row r="13" spans="1:18">
      <c r="A13" s="73" t="s">
        <v>109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</row>
    <row r="14" spans="1:18">
      <c r="A14" s="73" t="s">
        <v>112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3"/>
      <c r="O14" s="72"/>
      <c r="P14" s="72"/>
      <c r="Q14" s="72"/>
      <c r="R14" s="72"/>
    </row>
    <row r="15" spans="1:18">
      <c r="A15" s="80" t="s">
        <v>113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3"/>
      <c r="O15" s="72"/>
      <c r="P15" s="72"/>
      <c r="Q15" s="72"/>
      <c r="R15" s="72"/>
    </row>
    <row r="16" spans="1:18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</row>
    <row r="17" spans="1:18">
      <c r="A17" s="73" t="s">
        <v>110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</row>
    <row r="18" spans="1:18">
      <c r="A18" s="73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</row>
    <row r="19" spans="1:18">
      <c r="A19" s="73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</row>
    <row r="20" spans="1:18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</row>
    <row r="21" spans="1:18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</row>
    <row r="22" spans="1:18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</row>
    <row r="23" spans="1:18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</row>
    <row r="24" spans="1:18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</row>
    <row r="25" spans="1:18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</row>
    <row r="26" spans="1:18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</row>
    <row r="27" spans="1:18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</row>
    <row r="28" spans="1:1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</row>
    <row r="29" spans="1:18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</row>
    <row r="30" spans="1:18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</row>
    <row r="31" spans="1:18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</row>
    <row r="32" spans="1:18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</row>
    <row r="33" spans="1:18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</row>
    <row r="34" spans="1:18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</row>
    <row r="35" spans="1:18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</row>
    <row r="36" spans="1:18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</row>
    <row r="37" spans="1:18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</row>
    <row r="38" spans="1:1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</row>
    <row r="39" spans="1:18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</row>
    <row r="40" spans="1:18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</row>
    <row r="41" spans="1:18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</row>
  </sheetData>
  <mergeCells count="1">
    <mergeCell ref="A1:M5"/>
  </mergeCells>
  <pageMargins left="0.7" right="0.7" top="0.75" bottom="0.75" header="0.3" footer="0.3"/>
  <pageSetup paperSize="9" scale="77" orientation="landscape" r:id="rId1"/>
  <headerFooter>
    <oddFooter>&amp;L
Student at Grand Valley State University
Contact: bellsamu@mail.gvsu.edu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142D-8B65-4083-941E-F512014893C5}">
  <dimension ref="A1:F17"/>
  <sheetViews>
    <sheetView tabSelected="1" view="pageLayout" zoomScale="64" zoomScaleNormal="100" zoomScalePageLayoutView="64" workbookViewId="0">
      <selection activeCell="A39" sqref="A39"/>
    </sheetView>
  </sheetViews>
  <sheetFormatPr defaultRowHeight="14.25"/>
  <cols>
    <col min="1" max="1" width="35.265625" customWidth="1"/>
    <col min="2" max="4" width="18.59765625" customWidth="1"/>
  </cols>
  <sheetData>
    <row r="1" spans="1:6" ht="14.65" thickBot="1">
      <c r="A1" s="13" t="s">
        <v>0</v>
      </c>
      <c r="B1" s="14">
        <v>2022</v>
      </c>
      <c r="C1" s="15">
        <v>2023</v>
      </c>
      <c r="D1" s="15">
        <v>2024</v>
      </c>
    </row>
    <row r="2" spans="1:6" ht="14.65" thickBot="1">
      <c r="A2" s="19" t="s">
        <v>6</v>
      </c>
      <c r="B2" s="20"/>
      <c r="C2" s="20"/>
      <c r="D2" s="21"/>
    </row>
    <row r="3" spans="1:6">
      <c r="A3" s="18" t="s">
        <v>1</v>
      </c>
      <c r="B3" s="17">
        <v>653604</v>
      </c>
      <c r="C3" s="17">
        <v>1318014</v>
      </c>
      <c r="D3" s="17">
        <v>1355630</v>
      </c>
    </row>
    <row r="4" spans="1:6">
      <c r="A4" s="7" t="s">
        <v>2</v>
      </c>
      <c r="B4" s="8">
        <v>382735</v>
      </c>
      <c r="C4" s="8">
        <v>684875</v>
      </c>
      <c r="D4" s="8">
        <v>675423</v>
      </c>
    </row>
    <row r="5" spans="1:6">
      <c r="A5" s="7" t="s">
        <v>3</v>
      </c>
      <c r="B5" s="8">
        <v>270869</v>
      </c>
      <c r="C5" s="8">
        <v>633139</v>
      </c>
      <c r="D5" s="8">
        <v>680207</v>
      </c>
      <c r="F5" s="82" t="s">
        <v>39</v>
      </c>
    </row>
    <row r="6" spans="1:6">
      <c r="A6" s="7" t="s">
        <v>7</v>
      </c>
      <c r="B6" s="8">
        <v>428670</v>
      </c>
      <c r="C6" s="8">
        <v>366773</v>
      </c>
      <c r="D6" s="8">
        <v>524479</v>
      </c>
      <c r="F6" s="82"/>
    </row>
    <row r="7" spans="1:6">
      <c r="A7" s="7" t="s">
        <v>8</v>
      </c>
      <c r="B7" s="8">
        <v>-157801</v>
      </c>
      <c r="C7" s="8">
        <v>266366</v>
      </c>
      <c r="D7" s="8">
        <v>155728</v>
      </c>
      <c r="F7" s="82" t="s">
        <v>114</v>
      </c>
    </row>
    <row r="8" spans="1:6" ht="14.65" thickBot="1">
      <c r="A8" s="11" t="s">
        <v>9</v>
      </c>
      <c r="B8" s="12">
        <v>-187282</v>
      </c>
      <c r="C8" s="12">
        <v>226801</v>
      </c>
      <c r="D8" s="12">
        <v>145074</v>
      </c>
      <c r="F8" s="82"/>
    </row>
    <row r="9" spans="1:6" ht="14.65" thickBot="1">
      <c r="A9" s="19" t="s">
        <v>10</v>
      </c>
      <c r="B9" s="20"/>
      <c r="C9" s="20"/>
      <c r="D9" s="21"/>
    </row>
    <row r="10" spans="1:6">
      <c r="A10" s="16" t="s">
        <v>12</v>
      </c>
      <c r="B10" s="17"/>
      <c r="C10" s="17"/>
      <c r="D10" s="17"/>
    </row>
    <row r="11" spans="1:6">
      <c r="A11" s="10" t="s">
        <v>11</v>
      </c>
      <c r="B11" s="8">
        <v>917971</v>
      </c>
      <c r="C11" s="8">
        <v>1204904</v>
      </c>
      <c r="D11" s="8">
        <v>1224580</v>
      </c>
    </row>
    <row r="12" spans="1:6">
      <c r="A12" s="7" t="s">
        <v>4</v>
      </c>
      <c r="B12" s="8">
        <v>1222069</v>
      </c>
      <c r="C12" s="8">
        <v>1536396</v>
      </c>
      <c r="D12" s="8">
        <v>1766881</v>
      </c>
    </row>
    <row r="13" spans="1:6">
      <c r="A13" s="9" t="s">
        <v>13</v>
      </c>
      <c r="B13" s="8"/>
      <c r="C13" s="8"/>
      <c r="D13" s="8"/>
    </row>
    <row r="14" spans="1:6">
      <c r="A14" s="7" t="s">
        <v>14</v>
      </c>
      <c r="B14" s="8">
        <v>161295</v>
      </c>
      <c r="C14" s="8">
        <v>276613</v>
      </c>
      <c r="D14" s="8">
        <v>365535</v>
      </c>
    </row>
    <row r="15" spans="1:6">
      <c r="A15" s="7" t="s">
        <v>5</v>
      </c>
      <c r="B15" s="8">
        <v>387490</v>
      </c>
      <c r="C15" s="8">
        <v>447868</v>
      </c>
      <c r="D15" s="8">
        <v>542464</v>
      </c>
    </row>
    <row r="16" spans="1:6">
      <c r="A16" s="9" t="s">
        <v>15</v>
      </c>
      <c r="B16" s="8"/>
      <c r="C16" s="8"/>
      <c r="D16" s="8"/>
    </row>
    <row r="17" spans="1:4">
      <c r="A17" s="7" t="s">
        <v>16</v>
      </c>
      <c r="B17" s="8">
        <v>40091</v>
      </c>
      <c r="C17" s="8">
        <v>264040</v>
      </c>
      <c r="D17" s="8">
        <v>399929</v>
      </c>
    </row>
  </sheetData>
  <mergeCells count="2">
    <mergeCell ref="A2:D2"/>
    <mergeCell ref="A9:D9"/>
  </mergeCells>
  <pageMargins left="0.7" right="0.7" top="0.75" bottom="0.75" header="0.3" footer="0.3"/>
  <pageSetup paperSize="9" scale="96" orientation="landscape" r:id="rId1"/>
  <headerFooter>
    <oddHeader>&amp;C&amp;A&amp;R&amp;9Prepared by: Samuel Bell | Nov 2025</oddHeader>
    <oddFooter>&amp;LCelsius vs Monster Analysis&amp;CPage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1A61-725D-4815-9182-68726321302C}">
  <dimension ref="A1:F24"/>
  <sheetViews>
    <sheetView tabSelected="1" showWhiteSpace="0" view="pageLayout" zoomScale="73" zoomScaleNormal="93" zoomScalePageLayoutView="73" workbookViewId="0">
      <selection activeCell="A39" sqref="A39"/>
    </sheetView>
  </sheetViews>
  <sheetFormatPr defaultRowHeight="14.25"/>
  <cols>
    <col min="1" max="1" width="23.6640625" customWidth="1"/>
    <col min="2" max="2" width="31.73046875" customWidth="1"/>
    <col min="3" max="5" width="13" customWidth="1"/>
  </cols>
  <sheetData>
    <row r="1" spans="1:5" ht="14.65" thickBot="1">
      <c r="A1" s="15" t="s">
        <v>17</v>
      </c>
      <c r="B1" s="15" t="s">
        <v>18</v>
      </c>
      <c r="C1" s="15">
        <v>2022</v>
      </c>
      <c r="D1" s="15">
        <v>2023</v>
      </c>
      <c r="E1" s="15">
        <v>2024</v>
      </c>
    </row>
    <row r="2" spans="1:5" ht="14.65" thickBot="1">
      <c r="A2" s="19" t="s">
        <v>54</v>
      </c>
      <c r="B2" s="20"/>
      <c r="C2" s="20"/>
      <c r="D2" s="20"/>
      <c r="E2" s="21"/>
    </row>
    <row r="3" spans="1:5">
      <c r="A3" s="29" t="s">
        <v>19</v>
      </c>
      <c r="B3" s="29" t="s">
        <v>20</v>
      </c>
      <c r="C3" s="30" t="s">
        <v>21</v>
      </c>
      <c r="D3" s="31">
        <f>(RawData!C3-RawData!B3)/RawData!B3</f>
        <v>1.0165329465547945</v>
      </c>
      <c r="E3" s="31">
        <f>(RawData!D3-RawData!C3)/RawData!C3</f>
        <v>2.8539909287761737E-2</v>
      </c>
    </row>
    <row r="4" spans="1:5">
      <c r="A4" s="22" t="s">
        <v>22</v>
      </c>
      <c r="B4" s="22" t="s">
        <v>20</v>
      </c>
      <c r="C4" s="23" t="s">
        <v>21</v>
      </c>
      <c r="D4" s="24">
        <f>(RawData!C5-RawData!B5)/RawData!B5</f>
        <v>1.3374361776356836</v>
      </c>
      <c r="E4" s="24">
        <f>(RawData!D5-RawData!C5)/RawData!C5</f>
        <v>7.4340705595453763E-2</v>
      </c>
    </row>
    <row r="5" spans="1:5">
      <c r="A5" s="26" t="s">
        <v>23</v>
      </c>
      <c r="B5" s="26" t="s">
        <v>20</v>
      </c>
      <c r="C5" s="27" t="s">
        <v>21</v>
      </c>
      <c r="D5" s="28">
        <f>(RawData!C8-RawData!B8)/RawData!B8</f>
        <v>-2.2110133381745176</v>
      </c>
      <c r="E5" s="28">
        <f>(RawData!D8-RawData!C8)/RawData!C8</f>
        <v>-0.36034673568458692</v>
      </c>
    </row>
    <row r="6" spans="1:5" ht="14.65" thickBot="1">
      <c r="A6" s="4"/>
      <c r="B6" s="4"/>
      <c r="C6" s="4"/>
      <c r="D6" s="4"/>
      <c r="E6" s="4"/>
    </row>
    <row r="7" spans="1:5" ht="14.65" thickBot="1">
      <c r="A7" s="34" t="s">
        <v>24</v>
      </c>
      <c r="B7" s="35"/>
      <c r="C7" s="35"/>
      <c r="D7" s="35"/>
      <c r="E7" s="36"/>
    </row>
    <row r="8" spans="1:5">
      <c r="A8" s="29" t="s">
        <v>25</v>
      </c>
      <c r="B8" s="29" t="s">
        <v>26</v>
      </c>
      <c r="C8" s="56">
        <f>RawData!B5/RawData!B3</f>
        <v>0.41442371833709707</v>
      </c>
      <c r="D8" s="56">
        <f>RawData!C5/RawData!C3</f>
        <v>0.48037350134368828</v>
      </c>
      <c r="E8" s="56">
        <f>RawData!D5/RawData!D3</f>
        <v>0.50176449326143568</v>
      </c>
    </row>
    <row r="9" spans="1:5">
      <c r="A9" s="22" t="s">
        <v>27</v>
      </c>
      <c r="B9" s="22" t="s">
        <v>28</v>
      </c>
      <c r="C9" s="57">
        <f>RawData!B7/RawData!B3</f>
        <v>-0.24143212097845179</v>
      </c>
      <c r="D9" s="57">
        <f>RawData!C7/RawData!C3</f>
        <v>0.20209648759421373</v>
      </c>
      <c r="E9" s="57">
        <f>RawData!D7/RawData!D3</f>
        <v>0.11487500276624153</v>
      </c>
    </row>
    <row r="10" spans="1:5">
      <c r="A10" s="26" t="s">
        <v>29</v>
      </c>
      <c r="B10" s="26" t="s">
        <v>30</v>
      </c>
      <c r="C10" s="58">
        <f>RawData!B8/RawData!B3</f>
        <v>-0.28653741409171302</v>
      </c>
      <c r="D10" s="58">
        <f>RawData!C8/RawData!C3</f>
        <v>0.17207783832341689</v>
      </c>
      <c r="E10" s="58">
        <f>RawData!D8/RawData!D3</f>
        <v>0.10701592617454615</v>
      </c>
    </row>
    <row r="11" spans="1:5" ht="14.65" thickBot="1">
      <c r="A11" s="4"/>
      <c r="B11" s="4"/>
      <c r="C11" s="4"/>
      <c r="D11" s="4"/>
      <c r="E11" s="4"/>
    </row>
    <row r="12" spans="1:5" ht="14.65" thickBot="1">
      <c r="A12" s="37" t="s">
        <v>31</v>
      </c>
      <c r="B12" s="38"/>
      <c r="C12" s="38"/>
      <c r="D12" s="38"/>
      <c r="E12" s="39"/>
    </row>
    <row r="13" spans="1:5">
      <c r="A13" s="29" t="s">
        <v>32</v>
      </c>
      <c r="B13" s="29" t="s">
        <v>33</v>
      </c>
      <c r="C13" s="31">
        <f>RawData!B8/RawData!B17</f>
        <v>-4.671422513781148</v>
      </c>
      <c r="D13" s="31">
        <f>RawData!C8/RawData!C17</f>
        <v>0.8589645508256325</v>
      </c>
      <c r="E13" s="31">
        <f>RawData!D8/RawData!D17</f>
        <v>0.36274938801637291</v>
      </c>
    </row>
    <row r="14" spans="1:5">
      <c r="A14" s="22" t="s">
        <v>34</v>
      </c>
      <c r="B14" s="22" t="s">
        <v>35</v>
      </c>
      <c r="C14" s="25">
        <f>RawData!B8/RawData!B12</f>
        <v>-0.1532499392423832</v>
      </c>
      <c r="D14" s="24">
        <f>RawData!C8/RawData!C12</f>
        <v>0.14761884305869061</v>
      </c>
      <c r="E14" s="24">
        <f>RawData!D8/RawData!D12</f>
        <v>8.2107397159174839E-2</v>
      </c>
    </row>
    <row r="15" spans="1:5" ht="14.65" thickBot="1">
      <c r="A15" s="4"/>
      <c r="B15" s="4"/>
      <c r="C15" s="4"/>
      <c r="D15" s="4"/>
      <c r="E15" s="4"/>
    </row>
    <row r="16" spans="1:5" ht="14.65" thickBot="1">
      <c r="A16" s="40" t="s">
        <v>36</v>
      </c>
      <c r="B16" s="41"/>
      <c r="C16" s="41"/>
      <c r="D16" s="41"/>
      <c r="E16" s="42"/>
    </row>
    <row r="17" spans="1:6">
      <c r="A17" s="32" t="s">
        <v>37</v>
      </c>
      <c r="B17" s="32" t="s">
        <v>38</v>
      </c>
      <c r="C17" s="33">
        <f>RawData!B11/RawData!B14</f>
        <v>5.6912551536005456</v>
      </c>
      <c r="D17" s="33">
        <f>RawData!C11/RawData!C14</f>
        <v>4.3559196422438573</v>
      </c>
      <c r="E17" s="55">
        <f>RawData!D11/RawData!D14</f>
        <v>3.3501032732843639</v>
      </c>
    </row>
    <row r="18" spans="1:6" ht="14.65" thickBot="1">
      <c r="E18" s="52"/>
      <c r="F18" s="52"/>
    </row>
    <row r="19" spans="1:6" ht="18" customHeight="1" thickBot="1">
      <c r="A19" s="49" t="s">
        <v>40</v>
      </c>
      <c r="B19" s="50"/>
      <c r="C19" s="51"/>
      <c r="E19" s="53"/>
      <c r="F19" s="53"/>
    </row>
    <row r="20" spans="1:6" ht="18" customHeight="1">
      <c r="A20" s="43" t="s">
        <v>41</v>
      </c>
      <c r="B20" s="44"/>
      <c r="C20" s="45"/>
      <c r="E20" s="54"/>
      <c r="F20" s="54"/>
    </row>
    <row r="21" spans="1:6" ht="18" customHeight="1">
      <c r="A21" s="43" t="s">
        <v>42</v>
      </c>
      <c r="B21" s="44"/>
      <c r="C21" s="45"/>
      <c r="D21" s="44"/>
      <c r="E21" s="44"/>
    </row>
    <row r="22" spans="1:6" ht="18" customHeight="1">
      <c r="A22" s="43" t="s">
        <v>43</v>
      </c>
      <c r="B22" s="44"/>
      <c r="C22" s="45"/>
      <c r="D22" s="44"/>
      <c r="E22" s="44"/>
    </row>
    <row r="23" spans="1:6" ht="18" customHeight="1">
      <c r="A23" s="43" t="s">
        <v>44</v>
      </c>
      <c r="B23" s="44"/>
      <c r="C23" s="45"/>
      <c r="D23" s="44"/>
      <c r="E23" s="44"/>
    </row>
    <row r="24" spans="1:6" ht="18" customHeight="1" thickBot="1">
      <c r="A24" s="46" t="s">
        <v>45</v>
      </c>
      <c r="B24" s="47"/>
      <c r="C24" s="48"/>
    </row>
  </sheetData>
  <mergeCells count="4">
    <mergeCell ref="A2:E2"/>
    <mergeCell ref="A7:E7"/>
    <mergeCell ref="A12:E12"/>
    <mergeCell ref="A16:E16"/>
  </mergeCells>
  <pageMargins left="0.7" right="0.7" top="0.75" bottom="0.75" header="0.3" footer="0.3"/>
  <pageSetup paperSize="9" scale="96" orientation="landscape" r:id="rId1"/>
  <headerFooter>
    <oddHeader>&amp;C&amp;A&amp;R&amp;9Prepared by: Samuel Bell | Nov 2025</oddHeader>
    <oddFooter>&amp;LCelsius vs Monster Analysis&amp;CPage 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DB21-F91F-4D94-834E-FFCCE96CD2E4}">
  <dimension ref="A1"/>
  <sheetViews>
    <sheetView tabSelected="1" view="pageLayout" zoomScale="47" zoomScaleNormal="80" zoomScalePageLayoutView="47" workbookViewId="0">
      <selection activeCell="A39" sqref="A39"/>
    </sheetView>
  </sheetViews>
  <sheetFormatPr defaultRowHeight="14.25"/>
  <sheetData/>
  <pageMargins left="0.7" right="0.7" top="0.75" bottom="0.75" header="0.3" footer="0.3"/>
  <pageSetup paperSize="9" scale="96" orientation="landscape" r:id="rId1"/>
  <headerFooter>
    <oddHeader>&amp;C&amp;A&amp;R&amp;9Prepared by: Samuel Bell | Nov 2025</oddHeader>
    <oddFooter>&amp;LCelsius vs Monster Analysis&amp;CPage 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C88A-00C5-4FAA-A24E-3C13FD2BD2FB}">
  <dimension ref="A1:J37"/>
  <sheetViews>
    <sheetView tabSelected="1" view="pageLayout" zoomScale="57" zoomScaleNormal="76" zoomScalePageLayoutView="57" workbookViewId="0">
      <selection activeCell="A39" sqref="A39"/>
    </sheetView>
  </sheetViews>
  <sheetFormatPr defaultRowHeight="14.25"/>
  <cols>
    <col min="1" max="1" width="20.265625" bestFit="1" customWidth="1"/>
    <col min="2" max="2" width="13.53125" customWidth="1"/>
    <col min="3" max="3" width="14.19921875" bestFit="1" customWidth="1"/>
    <col min="4" max="4" width="16.3984375" customWidth="1"/>
    <col min="5" max="5" width="17.33203125" bestFit="1" customWidth="1"/>
  </cols>
  <sheetData>
    <row r="1" spans="1:5" ht="14.65" thickBot="1">
      <c r="A1" s="13" t="s">
        <v>17</v>
      </c>
      <c r="B1" s="13" t="s">
        <v>46</v>
      </c>
      <c r="C1" s="13" t="s">
        <v>47</v>
      </c>
      <c r="D1" s="13" t="s">
        <v>53</v>
      </c>
      <c r="E1" s="83" t="s">
        <v>55</v>
      </c>
    </row>
    <row r="2" spans="1:5" ht="14.65" thickBot="1">
      <c r="A2" s="40" t="s">
        <v>48</v>
      </c>
      <c r="B2" s="41"/>
      <c r="C2" s="41"/>
      <c r="D2" s="41"/>
      <c r="E2" s="42"/>
    </row>
    <row r="3" spans="1:5">
      <c r="A3" s="32" t="s">
        <v>49</v>
      </c>
      <c r="B3" s="31">
        <f>Analysis!E3</f>
        <v>2.8539909287761737E-2</v>
      </c>
      <c r="C3" s="31">
        <f>(7492.709-7140.027)/7140.027</f>
        <v>4.9395051307228918E-2</v>
      </c>
      <c r="D3" s="31" t="str">
        <f>IF(B3&gt;C3,"Celsius","Monster")</f>
        <v>Monster</v>
      </c>
      <c r="E3" s="32" t="str">
        <f>IF(B3&gt;C3, TEXT(B3-C3,"0.0%") &amp; " higher", TEXT(C3-B3,"0.0%") &amp; " higher")</f>
        <v>2.1% higher</v>
      </c>
    </row>
    <row r="4" spans="1:5">
      <c r="A4" s="2" t="s">
        <v>25</v>
      </c>
      <c r="B4" s="24">
        <f>Analysis!E8</f>
        <v>0.50176449326143568</v>
      </c>
      <c r="C4" s="24">
        <f>4048.878/7492.709</f>
        <v>0.54037571724725997</v>
      </c>
      <c r="D4" s="24" t="str">
        <f>IF(B4&gt;C4,"Celsius","Monster")</f>
        <v>Monster</v>
      </c>
      <c r="E4" s="2" t="str">
        <f>IF(B4&gt;C4, TEXT(B4-C4,"0.0%") &amp; " higher", TEXT(C4-B4,"0.0%") &amp; " higher")</f>
        <v>3.9% higher</v>
      </c>
    </row>
    <row r="5" spans="1:5">
      <c r="A5" s="2" t="s">
        <v>27</v>
      </c>
      <c r="B5" s="24">
        <f>Analysis!E9</f>
        <v>0.11487500276624153</v>
      </c>
      <c r="C5" s="24">
        <f>1930.294/7492.709</f>
        <v>0.25762297721691851</v>
      </c>
      <c r="D5" s="24" t="str">
        <f>IF(B5&gt;C5,"Celsius","Monster")</f>
        <v>Monster</v>
      </c>
      <c r="E5" s="2" t="str">
        <f t="shared" ref="E5:E7" si="0">IF(B5&gt;C5, TEXT(B5-C5,"0.0%") &amp; " higher", TEXT(C5-B5,"0.0%") &amp; " higher")</f>
        <v>14.3% higher</v>
      </c>
    </row>
    <row r="6" spans="1:5">
      <c r="A6" s="2" t="s">
        <v>29</v>
      </c>
      <c r="B6" s="24">
        <f>Analysis!E10</f>
        <v>0.10701592617454615</v>
      </c>
      <c r="C6" s="24">
        <f>1509/7492.709</f>
        <v>0.201395783554386</v>
      </c>
      <c r="D6" s="24" t="str">
        <f>IF(B6&gt;C6,"Celsius","Monster")</f>
        <v>Monster</v>
      </c>
      <c r="E6" s="2" t="str">
        <f t="shared" si="0"/>
        <v>9.4% higher</v>
      </c>
    </row>
    <row r="7" spans="1:5" ht="14.65" thickBot="1">
      <c r="A7" s="5" t="s">
        <v>32</v>
      </c>
      <c r="B7" s="28">
        <f>Analysis!E13</f>
        <v>0.36274938801637291</v>
      </c>
      <c r="C7" s="28">
        <f>1509/5957.718</f>
        <v>0.25328489868100507</v>
      </c>
      <c r="D7" s="28" t="str">
        <f>IF(B7&gt;C7,"Celsius","Monster")</f>
        <v>Celsius</v>
      </c>
      <c r="E7" s="5" t="str">
        <f t="shared" si="0"/>
        <v>10.9% higher</v>
      </c>
    </row>
    <row r="8" spans="1:5" ht="14.65" thickBot="1">
      <c r="A8" s="19" t="s">
        <v>50</v>
      </c>
      <c r="B8" s="20"/>
      <c r="C8" s="20"/>
      <c r="D8" s="20"/>
      <c r="E8" s="21"/>
    </row>
    <row r="9" spans="1:5">
      <c r="A9" s="32" t="s">
        <v>51</v>
      </c>
      <c r="B9" s="32">
        <v>369.33</v>
      </c>
      <c r="C9" s="32">
        <v>40.56</v>
      </c>
      <c r="D9" s="32" t="str">
        <f>IF(B9&lt;C9,"Celsius","Monster")</f>
        <v>Monster</v>
      </c>
      <c r="E9" s="32" t="str">
        <f>IF(B9&lt;C9, TEXT(C9-B9,"0.0") &amp; " points cheaper", TEXT(B9-C9,"0.0") &amp; " points cheaper")</f>
        <v>328.8 points cheaper</v>
      </c>
    </row>
    <row r="10" spans="1:5">
      <c r="A10" s="2" t="s">
        <v>52</v>
      </c>
      <c r="B10" s="2">
        <v>11.44</v>
      </c>
      <c r="C10" s="2">
        <v>69.75</v>
      </c>
      <c r="D10" s="2" t="str">
        <f>IF(B10&gt;C10,"Celsius (Larger)","Monster (Larger)")</f>
        <v>Monster (Larger)</v>
      </c>
      <c r="E10" s="2" t="str">
        <f>TEXT(ABS(B10-C10),"$0.0") &amp; "B " &amp; IF(B10&gt;C10,"larger","smaller")</f>
        <v>$58.3B smaller</v>
      </c>
    </row>
    <row r="11" spans="1:5" ht="14.65" thickBot="1"/>
    <row r="12" spans="1:5" ht="14.65" thickBot="1">
      <c r="A12" s="59" t="s">
        <v>56</v>
      </c>
      <c r="B12" s="60" t="str">
        <f>IF(COUNTIF(D2:D8,"Celsius")&gt;COUNTIF(D2:D8,"Monster"),"Celsius","Monster")</f>
        <v>Monster</v>
      </c>
      <c r="C12" s="61" t="str">
        <f>COUNTIF(D2:D8,B12) &amp; " out of " &amp; COUNTA(D2:D8) &amp; " metrics"</f>
        <v>4 out of 5 metrics</v>
      </c>
    </row>
    <row r="13" spans="1:5" ht="14.65" thickBot="1"/>
    <row r="14" spans="1:5" ht="14.65" thickBot="1">
      <c r="A14" s="19" t="s">
        <v>57</v>
      </c>
      <c r="B14" s="20"/>
      <c r="C14" s="20"/>
      <c r="D14" s="20"/>
      <c r="E14" s="21"/>
    </row>
    <row r="15" spans="1:5">
      <c r="A15" s="66" t="s">
        <v>58</v>
      </c>
      <c r="B15" s="66"/>
      <c r="C15" s="65" t="str">
        <f>IF(COUNTIF(D3:D10,"Monster")&gt;COUNTIF(D3:D10,"Celsius"),"BUY Monster - Superior Financial Performance","BUY Celsius - Strong Growth Potential")</f>
        <v>BUY Monster - Superior Financial Performance</v>
      </c>
      <c r="D15" s="65"/>
      <c r="E15" s="65"/>
    </row>
    <row r="16" spans="1:5">
      <c r="A16" s="1" t="s">
        <v>59</v>
      </c>
    </row>
    <row r="17" spans="1:10">
      <c r="A17" s="62" t="s">
        <v>60</v>
      </c>
      <c r="B17" s="62"/>
      <c r="C17" s="62"/>
    </row>
    <row r="18" spans="1:10">
      <c r="A18" s="62" t="s">
        <v>61</v>
      </c>
      <c r="B18" s="62"/>
      <c r="C18" s="62"/>
    </row>
    <row r="19" spans="1:10">
      <c r="A19" s="62" t="s">
        <v>62</v>
      </c>
      <c r="B19" s="62"/>
      <c r="C19" s="62"/>
    </row>
    <row r="20" spans="1:10">
      <c r="A20" s="1" t="s">
        <v>63</v>
      </c>
    </row>
    <row r="21" spans="1:10">
      <c r="A21" s="62" t="s">
        <v>64</v>
      </c>
      <c r="B21" s="62"/>
      <c r="C21" s="62"/>
    </row>
    <row r="22" spans="1:10">
      <c r="A22" s="62" t="s">
        <v>65</v>
      </c>
      <c r="B22" s="62"/>
      <c r="C22" s="62"/>
    </row>
    <row r="23" spans="1:10">
      <c r="A23" s="62" t="s">
        <v>66</v>
      </c>
      <c r="B23" s="62"/>
      <c r="C23" s="62"/>
    </row>
    <row r="24" spans="1:10" ht="14.65" thickBot="1"/>
    <row r="25" spans="1:10" ht="14.65" thickBot="1">
      <c r="A25" s="19" t="s">
        <v>67</v>
      </c>
      <c r="B25" s="20"/>
      <c r="C25" s="20"/>
      <c r="D25" s="20"/>
      <c r="E25" s="21"/>
    </row>
    <row r="26" spans="1:10" ht="14.25" customHeight="1">
      <c r="A26" s="63" t="s">
        <v>103</v>
      </c>
      <c r="B26" s="63"/>
      <c r="C26" s="63"/>
      <c r="D26" s="63"/>
      <c r="E26" s="63"/>
      <c r="F26" s="63"/>
      <c r="G26" s="63"/>
      <c r="H26" s="63"/>
      <c r="I26" s="63"/>
      <c r="J26" s="63"/>
    </row>
    <row r="27" spans="1:10">
      <c r="A27" s="63"/>
      <c r="B27" s="63"/>
      <c r="C27" s="63"/>
      <c r="D27" s="63"/>
      <c r="E27" s="63"/>
      <c r="F27" s="63"/>
      <c r="G27" s="63"/>
      <c r="H27" s="63"/>
      <c r="I27" s="63"/>
      <c r="J27" s="63"/>
    </row>
    <row r="28" spans="1:10">
      <c r="A28" s="63"/>
      <c r="B28" s="63"/>
      <c r="C28" s="63"/>
      <c r="D28" s="63"/>
      <c r="E28" s="63"/>
      <c r="F28" s="63"/>
      <c r="G28" s="63"/>
      <c r="H28" s="63"/>
      <c r="I28" s="63"/>
      <c r="J28" s="63"/>
    </row>
    <row r="29" spans="1:10">
      <c r="A29" s="63"/>
      <c r="B29" s="63"/>
      <c r="C29" s="63"/>
      <c r="D29" s="63"/>
      <c r="E29" s="63"/>
      <c r="F29" s="63"/>
      <c r="G29" s="63"/>
      <c r="H29" s="63"/>
      <c r="I29" s="63"/>
      <c r="J29" s="63"/>
    </row>
    <row r="30" spans="1:10">
      <c r="A30" s="63"/>
      <c r="B30" s="63"/>
      <c r="C30" s="63"/>
      <c r="D30" s="63"/>
      <c r="E30" s="63"/>
      <c r="F30" s="63"/>
      <c r="G30" s="63"/>
      <c r="H30" s="63"/>
      <c r="I30" s="63"/>
      <c r="J30" s="63"/>
    </row>
    <row r="31" spans="1:10">
      <c r="A31" s="63"/>
      <c r="B31" s="63"/>
      <c r="C31" s="63"/>
      <c r="D31" s="63"/>
      <c r="E31" s="63"/>
      <c r="F31" s="63"/>
      <c r="G31" s="63"/>
      <c r="H31" s="63"/>
      <c r="I31" s="63"/>
      <c r="J31" s="63"/>
    </row>
    <row r="32" spans="1:10">
      <c r="A32" s="63"/>
      <c r="B32" s="63"/>
      <c r="C32" s="63"/>
      <c r="D32" s="63"/>
      <c r="E32" s="63"/>
      <c r="F32" s="63"/>
      <c r="G32" s="63"/>
      <c r="H32" s="63"/>
      <c r="I32" s="63"/>
      <c r="J32" s="63"/>
    </row>
    <row r="33" spans="1:10">
      <c r="A33" s="64"/>
      <c r="B33" s="64"/>
      <c r="C33" s="64"/>
      <c r="D33" s="64"/>
      <c r="E33" s="64"/>
      <c r="F33" s="64"/>
      <c r="G33" s="64"/>
      <c r="H33" s="64"/>
      <c r="I33" s="64"/>
      <c r="J33" s="64"/>
    </row>
    <row r="34" spans="1:10">
      <c r="A34" s="64"/>
      <c r="B34" s="64"/>
      <c r="C34" s="64"/>
      <c r="D34" s="64"/>
      <c r="E34" s="64"/>
      <c r="F34" s="64"/>
      <c r="G34" s="64"/>
      <c r="H34" s="64"/>
      <c r="I34" s="64"/>
      <c r="J34" s="64"/>
    </row>
    <row r="35" spans="1:10">
      <c r="A35" s="64"/>
      <c r="B35" s="64"/>
      <c r="C35" s="64"/>
      <c r="D35" s="64"/>
      <c r="E35" s="64"/>
      <c r="F35" s="64"/>
      <c r="G35" s="64"/>
      <c r="H35" s="64"/>
      <c r="I35" s="64"/>
      <c r="J35" s="64"/>
    </row>
    <row r="36" spans="1:10">
      <c r="A36" s="64"/>
      <c r="B36" s="64"/>
      <c r="C36" s="64"/>
      <c r="D36" s="64"/>
      <c r="E36" s="64"/>
      <c r="F36" s="64"/>
      <c r="G36" s="64"/>
      <c r="H36" s="64"/>
      <c r="I36" s="64"/>
      <c r="J36" s="64"/>
    </row>
    <row r="37" spans="1:10">
      <c r="A37" s="64"/>
      <c r="B37" s="64"/>
      <c r="C37" s="64"/>
      <c r="D37" s="64"/>
      <c r="E37" s="64"/>
      <c r="F37" s="64"/>
      <c r="G37" s="64"/>
      <c r="H37" s="64"/>
      <c r="I37" s="64"/>
      <c r="J37" s="64"/>
    </row>
  </sheetData>
  <mergeCells count="13">
    <mergeCell ref="A22:C22"/>
    <mergeCell ref="A23:C23"/>
    <mergeCell ref="A26:J32"/>
    <mergeCell ref="A14:E14"/>
    <mergeCell ref="A15:B15"/>
    <mergeCell ref="C15:E15"/>
    <mergeCell ref="A25:E25"/>
    <mergeCell ref="A17:C17"/>
    <mergeCell ref="A18:C18"/>
    <mergeCell ref="A19:C19"/>
    <mergeCell ref="A21:C21"/>
    <mergeCell ref="A2:E2"/>
    <mergeCell ref="A8:E8"/>
  </mergeCells>
  <pageMargins left="0.7" right="0.7" top="0.75" bottom="0.75" header="0.3" footer="0.3"/>
  <pageSetup paperSize="9" scale="96" orientation="landscape" r:id="rId1"/>
  <headerFooter>
    <oddHeader>&amp;C&amp;A&amp;R&amp;9Prepared by: Samuel Bell | Nov 2025</oddHeader>
    <oddFooter>&amp;LCelsius vs Monster Analysis&amp;CPage 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C8A8-ED57-4B1E-8949-9B3903C91099}">
  <dimension ref="A1:A47"/>
  <sheetViews>
    <sheetView tabSelected="1" view="pageLayout" zoomScale="47" zoomScaleNormal="100" zoomScalePageLayoutView="47" workbookViewId="0">
      <selection activeCell="A39" sqref="A39"/>
    </sheetView>
  </sheetViews>
  <sheetFormatPr defaultRowHeight="14.25"/>
  <cols>
    <col min="1" max="1" width="87.265625" customWidth="1"/>
  </cols>
  <sheetData>
    <row r="1" spans="1:1">
      <c r="A1" s="1" t="s">
        <v>68</v>
      </c>
    </row>
    <row r="3" spans="1:1">
      <c r="A3" s="1" t="s">
        <v>69</v>
      </c>
    </row>
    <row r="4" spans="1:1">
      <c r="A4" t="s">
        <v>70</v>
      </c>
    </row>
    <row r="5" spans="1:1">
      <c r="A5" t="s">
        <v>74</v>
      </c>
    </row>
    <row r="6" spans="1:1">
      <c r="A6" t="s">
        <v>75</v>
      </c>
    </row>
    <row r="7" spans="1:1">
      <c r="A7" t="s">
        <v>72</v>
      </c>
    </row>
    <row r="9" spans="1:1">
      <c r="A9" t="s">
        <v>73</v>
      </c>
    </row>
    <row r="10" spans="1:1">
      <c r="A10" t="s">
        <v>74</v>
      </c>
    </row>
    <row r="11" spans="1:1">
      <c r="A11" t="s">
        <v>76</v>
      </c>
    </row>
    <row r="12" spans="1:1">
      <c r="A12" t="s">
        <v>77</v>
      </c>
    </row>
    <row r="14" spans="1:1">
      <c r="A14" t="s">
        <v>78</v>
      </c>
    </row>
    <row r="15" spans="1:1">
      <c r="A15" t="s">
        <v>79</v>
      </c>
    </row>
    <row r="16" spans="1:1">
      <c r="A16" t="s">
        <v>71</v>
      </c>
    </row>
    <row r="17" spans="1:1">
      <c r="A17" t="s">
        <v>80</v>
      </c>
    </row>
    <row r="19" spans="1:1">
      <c r="A19" t="s">
        <v>81</v>
      </c>
    </row>
    <row r="20" spans="1:1">
      <c r="A20" t="s">
        <v>82</v>
      </c>
    </row>
    <row r="21" spans="1:1">
      <c r="A21" t="s">
        <v>71</v>
      </c>
    </row>
    <row r="22" spans="1:1">
      <c r="A22" t="s">
        <v>83</v>
      </c>
    </row>
    <row r="24" spans="1:1">
      <c r="A24" t="s">
        <v>84</v>
      </c>
    </row>
    <row r="25" spans="1:1">
      <c r="A25" t="s">
        <v>85</v>
      </c>
    </row>
    <row r="26" spans="1:1">
      <c r="A26" t="s">
        <v>71</v>
      </c>
    </row>
    <row r="27" spans="1:1">
      <c r="A27" t="s">
        <v>86</v>
      </c>
    </row>
    <row r="29" spans="1:1">
      <c r="A29" t="s">
        <v>100</v>
      </c>
    </row>
    <row r="30" spans="1:1">
      <c r="A30" t="s">
        <v>101</v>
      </c>
    </row>
    <row r="31" spans="1:1">
      <c r="A31" t="s">
        <v>71</v>
      </c>
    </row>
    <row r="32" spans="1:1">
      <c r="A32" t="s">
        <v>102</v>
      </c>
    </row>
    <row r="34" spans="1:1">
      <c r="A34" s="1" t="s">
        <v>87</v>
      </c>
    </row>
    <row r="35" spans="1:1">
      <c r="A35" t="s">
        <v>88</v>
      </c>
    </row>
    <row r="36" spans="1:1">
      <c r="A36" t="s">
        <v>89</v>
      </c>
    </row>
    <row r="37" spans="1:1">
      <c r="A37" t="s">
        <v>90</v>
      </c>
    </row>
    <row r="38" spans="1:1">
      <c r="A38" t="s">
        <v>91</v>
      </c>
    </row>
    <row r="39" spans="1:1">
      <c r="A39" t="s">
        <v>92</v>
      </c>
    </row>
    <row r="40" spans="1:1">
      <c r="A40" t="s">
        <v>93</v>
      </c>
    </row>
    <row r="41" spans="1:1">
      <c r="A41" t="s">
        <v>94</v>
      </c>
    </row>
    <row r="42" spans="1:1">
      <c r="A42" t="s">
        <v>95</v>
      </c>
    </row>
    <row r="43" spans="1:1">
      <c r="A43" t="s">
        <v>96</v>
      </c>
    </row>
    <row r="45" spans="1:1">
      <c r="A45" t="s">
        <v>97</v>
      </c>
    </row>
    <row r="46" spans="1:1">
      <c r="A46" t="s">
        <v>98</v>
      </c>
    </row>
    <row r="47" spans="1:1">
      <c r="A47" t="s">
        <v>99</v>
      </c>
    </row>
  </sheetData>
  <pageMargins left="0.7" right="0.7" top="0.75" bottom="0.75" header="0.3" footer="0.3"/>
  <pageSetup paperSize="9" scale="96" orientation="landscape" r:id="rId1"/>
  <headerFooter>
    <oddHeader>&amp;C&amp;A&amp;R&amp;9Prepared by: Samuel Bell | Nov 2025</oddHeader>
    <oddFooter>&amp;LCelsius vs Monster Analysis&amp;CPage 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RawData</vt:lpstr>
      <vt:lpstr>Analysis</vt:lpstr>
      <vt:lpstr>Charts</vt:lpstr>
      <vt:lpstr>Comparison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J. Bell</dc:creator>
  <cp:lastModifiedBy>Samuel J. Bell</cp:lastModifiedBy>
  <cp:lastPrinted>2025-11-13T22:38:02Z</cp:lastPrinted>
  <dcterms:created xsi:type="dcterms:W3CDTF">2025-11-13T14:57:14Z</dcterms:created>
  <dcterms:modified xsi:type="dcterms:W3CDTF">2025-11-13T22:38:07Z</dcterms:modified>
</cp:coreProperties>
</file>